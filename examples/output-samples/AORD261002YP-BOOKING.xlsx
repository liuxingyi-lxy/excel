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9200" windowHeight="6710" firstSheet="1"/>
  </bookViews>
  <sheets>
    <sheet sheetId="2" name="BKCF (TRANSIT)" state="visible" r:id="rId4"/>
    <sheet sheetId="1" name="BKCF (DIRECT)" state="visible" r:id="rId5"/>
  </sheets>
  <definedNames>
    <definedName name="ListCom">'[1]List Com'!$C$5:$I$100</definedName>
    <definedName name="STTIM">'[1]Im'!$A$5:$AC$2971</definedName>
    <definedName name="TABLE">'[2]DATA'!$A$1:$E$3000</definedName>
    <definedName name="table4">'[3]Data (4)'!$B$2:$E$1300</definedName>
    <definedName name="_xlnm.Print_Area" localSheetId="0">'BKCF (TRANSIT)'!$A1:$F41</definedName>
    <definedName name="_xlnm.Print_Area" localSheetId="1">'BKCF (DIRECT)'!$A1:$F34</definedName>
  </definedNames>
  <calcPr calcId="171027"/>
</workbook>
</file>

<file path=xl/sharedStrings.xml><?xml version="1.0" encoding="utf-8"?>
<sst xmlns="http://schemas.openxmlformats.org/spreadsheetml/2006/main" count="117" uniqueCount="54">
  <si>
    <t>Date:</t>
  </si>
  <si>
    <t>TO:</t>
  </si>
  <si>
    <t>AORD261002YP</t>
  </si>
  <si>
    <t>ATTN:</t>
  </si>
  <si>
    <t>REF.:</t>
  </si>
  <si>
    <t>BOOKING CONFIRMATION</t>
  </si>
  <si>
    <t>MAWB:</t>
  </si>
  <si>
    <t>172-06871863</t>
  </si>
  <si>
    <t>HAWB:</t>
  </si>
  <si>
    <t>ORIGIN:</t>
  </si>
  <si>
    <t>HAN</t>
  </si>
  <si>
    <t>DESTINATION:</t>
  </si>
  <si>
    <t>ORD</t>
  </si>
  <si>
    <t>COMMODITY:</t>
  </si>
  <si>
    <t/>
  </si>
  <si>
    <t>QTY:</t>
  </si>
  <si>
    <t>109</t>
  </si>
  <si>
    <t>GROSS WEIGHT:</t>
  </si>
  <si>
    <t>1505.00</t>
  </si>
  <si>
    <t>VOL:</t>
  </si>
  <si>
    <t>REMARK:</t>
  </si>
  <si>
    <t>MOLEX</t>
  </si>
  <si>
    <t>SCHEDULE:</t>
  </si>
  <si>
    <t>ROUTING</t>
  </si>
  <si>
    <t>FLIGHT</t>
  </si>
  <si>
    <t>DATE</t>
  </si>
  <si>
    <t>ETD</t>
  </si>
  <si>
    <t>ETA</t>
  </si>
  <si>
    <t>CV7624</t>
  </si>
  <si>
    <t>2026/10/08 05:40</t>
  </si>
  <si>
    <t>2026-10-20T17:30:00.000+08:00</t>
  </si>
  <si>
    <t>CV5325</t>
  </si>
  <si>
    <t>2026/10/09 16:08</t>
  </si>
  <si>
    <t>DXB - ORD</t>
  </si>
  <si>
    <t>EK 0235</t>
  </si>
  <si>
    <t>CUT OFF TIME:</t>
  </si>
  <si>
    <t>WAREHOUSE:</t>
  </si>
  <si>
    <t>NOTE:</t>
  </si>
  <si>
    <t>PP IN HAN</t>
  </si>
  <si>
    <t xml:space="preserve">Địa điểm xếp hàng: VNDAD
</t>
  </si>
  <si>
    <t xml:space="preserve">Địa điểm đích cho vận chuyển bảo thuế: 34ABA01
</t>
  </si>
  <si>
    <t>Phương tiện vận chuyển dự kiến: KE0462/16May25</t>
  </si>
  <si>
    <t xml:space="preserve">OP CONTACT: </t>
  </si>
  <si>
    <t>Mr - Thanh - 0906 682 004</t>
  </si>
  <si>
    <t xml:space="preserve">ADDRESS: </t>
  </si>
  <si>
    <t>Room 304 Sky Coffee Noi Bai Airport</t>
  </si>
  <si>
    <t xml:space="preserve"> </t>
  </si>
  <si>
    <t>For booking or any request, please contact:</t>
  </si>
  <si>
    <t>Email</t>
  </si>
  <si>
    <t>Office phone</t>
  </si>
  <si>
    <t>Booking/CS</t>
  </si>
  <si>
    <t>air-han.list@vnbondex.com</t>
  </si>
  <si>
    <t>(84) 24 3204 5188</t>
  </si>
  <si>
    <t>PAHW23120972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</si>
</sst>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409]d-mmm-yy;@"/>
    <numFmt numFmtId="165" formatCode="#,###.00 &quot; KGS&quot;"/>
    <numFmt numFmtId="166" formatCode="0.00 &quot;CBM&quot;"/>
    <numFmt numFmtId="167" formatCode="#,###.0 &quot; KGS&quot;"/>
  </numFmts>
  <fonts count="19" x14ac:knownFonts="1">
    <font>
      <color theme="1"/>
      <family val="2"/>
      <scheme val="minor"/>
      <sz val="11"/>
      <name val="Calibri"/>
    </font>
    <font>
      <charset val="134"/>
      <color theme="1"/>
      <scheme val="minor"/>
      <sz val="12"/>
      <name val="宋体"/>
    </font>
    <font>
      <charset val="134"/>
      <scheme val="minor"/>
      <sz val="12"/>
      <name val="宋体"/>
    </font>
    <font>
      <charset val="134"/>
      <color indexed="8"/>
      <scheme val="minor"/>
      <sz val="12"/>
      <name val="宋体"/>
    </font>
    <font>
      <i/>
      <charset val="134"/>
      <color theme="1"/>
      <scheme val="minor"/>
      <sz val="10"/>
      <name val="宋体"/>
    </font>
    <font>
      <b/>
      <charset val="134"/>
      <color theme="1"/>
      <scheme val="minor"/>
      <sz val="11"/>
      <name val="宋体"/>
    </font>
    <font>
      <b/>
      <charset val="134"/>
      <color theme="1"/>
      <scheme val="minor"/>
      <sz val="12"/>
      <name val="宋体"/>
    </font>
    <font>
      <charset val="134"/>
      <color theme="1"/>
      <scheme val="minor"/>
      <sz val="10"/>
      <name val="宋体"/>
    </font>
    <font>
      <b/>
      <charset val="134"/>
      <color theme="1"/>
      <scheme val="minor"/>
      <sz val="10"/>
      <name val="宋体"/>
    </font>
    <font>
      <b/>
      <charset val="134"/>
      <color rgb="FFFF0000"/>
      <scheme val="minor"/>
      <sz val="22"/>
      <name val="宋体"/>
    </font>
    <font>
      <b/>
      <charset val="134"/>
      <color theme="0"/>
      <scheme val="minor"/>
      <sz val="12"/>
      <name val="宋体"/>
    </font>
    <font>
      <b/>
      <charset val="134"/>
      <color rgb="FFFF0000"/>
      <scheme val="minor"/>
      <sz val="12"/>
      <name val="宋体"/>
    </font>
    <font>
      <charset val="2"/>
      <color theme="1"/>
      <sz val="10"/>
      <name val="Symbol"/>
    </font>
    <font>
      <charset val="134"/>
      <color rgb="FF081B3A"/>
      <sz val="11"/>
      <name val="Segoe UI"/>
    </font>
    <font>
      <b/>
      <charset val="134"/>
      <color indexed="8"/>
      <scheme val="minor"/>
      <sz val="12"/>
      <name val="宋体"/>
    </font>
    <font>
      <b/>
      <u/>
      <charset val="134"/>
      <color indexed="8"/>
      <scheme val="minor"/>
      <sz val="12"/>
      <name val="宋体"/>
    </font>
    <font>
      <u/>
      <charset val="134"/>
      <color theme="10"/>
      <scheme val="minor"/>
      <sz val="11"/>
      <name val="宋体"/>
    </font>
    <font>
      <charset val="134"/>
      <scheme val="minor"/>
      <sz val="11"/>
      <name val="宋体"/>
    </font>
    <font>
      <b/>
      <charset val="134"/>
      <color indexed="62"/>
      <scheme val="minor"/>
      <sz val="11"/>
      <name val="宋体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4DA2"/>
        <bgColor indexed="64"/>
      </patternFill>
    </fill>
  </fills>
  <borders count="24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>
        <color theme="1"/>
      </right>
      <top style="thin"/>
      <bottom style="thin"/>
      <diagonal/>
    </border>
    <border>
      <left style="thin"/>
      <right style="thin"/>
      <top/>
      <bottom style="thin"/>
      <diagonal/>
    </border>
    <border>
      <left style="thin">
        <color theme="1"/>
      </left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>
        <color theme="1"/>
      </right>
      <top style="thin"/>
      <bottom style="thin"/>
      <diagonal/>
    </border>
    <border>
      <left style="thin">
        <color theme="1"/>
      </left>
      <right/>
      <top style="thin"/>
      <bottom style="thin">
        <color theme="1"/>
      </bottom>
      <diagonal/>
    </border>
    <border>
      <left/>
      <right style="thin"/>
      <top style="thin"/>
      <bottom style="thin">
        <color theme="1"/>
      </bottom>
      <diagonal/>
    </border>
    <border>
      <left style="thin"/>
      <right style="thin"/>
      <top style="thin"/>
      <bottom style="thin">
        <color theme="1"/>
      </bottom>
      <diagonal/>
    </border>
    <border>
      <left style="thin"/>
      <right/>
      <top style="thin"/>
      <bottom style="thin">
        <color theme="1"/>
      </bottom>
      <diagonal/>
    </border>
    <border>
      <left/>
      <right style="thin">
        <color theme="1"/>
      </right>
      <top style="thin"/>
      <bottom style="thin">
        <color theme="1"/>
      </bottom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2" fontId="2" fillId="2" borderId="3" xfId="0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20" fontId="2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2" fontId="2" fillId="2" borderId="0" xfId="0" applyNumberFormat="1" applyFont="1" applyFill="1" applyAlignment="1">
      <alignment horizontal="center" vertical="center"/>
    </xf>
    <xf numFmtId="0" fontId="1" fillId="2" borderId="4" xfId="0" applyFont="1" applyFill="1" applyBorder="1" applyAlignment="1">
      <alignment vertical="center"/>
    </xf>
    <xf numFmtId="2" fontId="2" fillId="2" borderId="5" xfId="0" applyNumberFormat="1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vertical="center"/>
    </xf>
    <xf numFmtId="0" fontId="1" fillId="0" borderId="4" xfId="0" applyFont="1" applyBorder="1" applyAlignment="1">
      <alignment vertical="center"/>
    </xf>
    <xf numFmtId="0" fontId="4" fillId="0" borderId="0" xfId="0" applyFont="1" applyAlignment="1">
      <alignment horizontal="right" vertical="center"/>
    </xf>
    <xf numFmtId="164" fontId="4" fillId="0" borderId="0" xfId="0" applyNumberFormat="1" applyFont="1" applyAlignment="1">
      <alignment horizontal="left" vertical="center"/>
    </xf>
    <xf numFmtId="164" fontId="4" fillId="0" borderId="5" xfId="0" applyNumberFormat="1" applyFont="1" applyBorder="1" applyAlignment="1">
      <alignment horizontal="left" vertical="center"/>
    </xf>
    <xf numFmtId="0" fontId="5" fillId="0" borderId="4" xfId="0" applyFont="1" applyBorder="1" applyAlignment="1">
      <alignment horizontal="justify" vertical="center" wrapText="1"/>
    </xf>
    <xf numFmtId="0" fontId="6" fillId="0" borderId="0" xfId="0" applyFont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1" fillId="0" borderId="0" xfId="0" applyFont="1" applyAlignment="1">
      <alignment horizontal="justify" vertical="center" wrapText="1"/>
    </xf>
    <xf numFmtId="0" fontId="7" fillId="0" borderId="4" xfId="0" applyFont="1" applyBorder="1" applyAlignment="1">
      <alignment horizontal="justify" vertical="center" wrapText="1"/>
    </xf>
    <xf numFmtId="0" fontId="7" fillId="0" borderId="0" xfId="0" applyFont="1" applyAlignment="1">
      <alignment horizontal="justify" vertical="center" wrapText="1"/>
    </xf>
    <xf numFmtId="0" fontId="8" fillId="0" borderId="5" xfId="0" applyFont="1" applyBorder="1" applyAlignment="1">
      <alignment horizontal="justify" vertical="center" wrapText="1"/>
    </xf>
    <xf numFmtId="0" fontId="6" fillId="0" borderId="0" xfId="0" applyFont="1" applyAlignment="1">
      <alignment horizontal="justify" vertical="center" wrapText="1"/>
    </xf>
    <xf numFmtId="0" fontId="1" fillId="0" borderId="5" xfId="0" applyFont="1" applyBorder="1" applyAlignment="1">
      <alignment vertical="center"/>
    </xf>
    <xf numFmtId="0" fontId="9" fillId="0" borderId="4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/>
    </xf>
    <xf numFmtId="165" fontId="1" fillId="0" borderId="0" xfId="0" applyNumberFormat="1" applyFont="1" applyAlignment="1">
      <alignment horizontal="left" vertical="center"/>
    </xf>
    <xf numFmtId="0" fontId="6" fillId="0" borderId="0" xfId="0" applyFont="1" applyAlignment="1">
      <alignment vertical="center" wrapText="1"/>
    </xf>
    <xf numFmtId="166" fontId="1" fillId="0" borderId="0" xfId="0" applyNumberFormat="1" applyFont="1" applyAlignment="1">
      <alignment horizontal="left" vertical="center"/>
    </xf>
    <xf numFmtId="166" fontId="1" fillId="0" borderId="5" xfId="0" applyNumberFormat="1" applyFont="1" applyBorder="1" applyAlignment="1">
      <alignment vertical="center" wrapText="1"/>
    </xf>
    <xf numFmtId="166" fontId="1" fillId="0" borderId="5" xfId="0" applyNumberFormat="1" applyFont="1" applyBorder="1" applyAlignment="1">
      <alignment horizontal="left" vertical="center" wrapText="1"/>
    </xf>
    <xf numFmtId="0" fontId="6" fillId="0" borderId="4" xfId="0" applyFont="1" applyBorder="1" applyAlignment="1">
      <alignment horizontal="justify" vertical="center"/>
    </xf>
    <xf numFmtId="0" fontId="6" fillId="0" borderId="0" xfId="0" applyFont="1" applyAlignment="1">
      <alignment horizontal="justify" vertical="center"/>
    </xf>
    <xf numFmtId="0" fontId="10" fillId="3" borderId="6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1" fontId="1" fillId="0" borderId="7" xfId="0" applyNumberFormat="1" applyFont="1" applyBorder="1" applyAlignment="1">
      <alignment horizontal="center" vertical="center"/>
    </xf>
    <xf numFmtId="1" fontId="1" fillId="0" borderId="7" xfId="0" applyNumberFormat="1" applyFont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20" fontId="1" fillId="0" borderId="7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1" fontId="1" fillId="0" borderId="9" xfId="0" applyNumberFormat="1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20" fontId="1" fillId="0" borderId="5" xfId="0" applyNumberFormat="1" applyFont="1" applyBorder="1" applyAlignment="1">
      <alignment horizontal="center" vertical="center"/>
    </xf>
    <xf numFmtId="0" fontId="11" fillId="0" borderId="4" xfId="0" applyFont="1" applyBorder="1" applyAlignment="1">
      <alignment horizontal="left" vertical="center"/>
    </xf>
    <xf numFmtId="2" fontId="11" fillId="0" borderId="0" xfId="0" applyNumberFormat="1" applyFont="1" applyAlignment="1">
      <alignment horizontal="left" vertical="center"/>
    </xf>
    <xf numFmtId="2" fontId="11" fillId="0" borderId="0" xfId="0" applyNumberFormat="1" applyFont="1" applyAlignment="1">
      <alignment vertical="center"/>
    </xf>
    <xf numFmtId="0" fontId="11" fillId="0" borderId="5" xfId="0" applyFont="1" applyBorder="1" applyAlignment="1">
      <alignment vertical="center"/>
    </xf>
    <xf numFmtId="0" fontId="12" fillId="0" borderId="0" xfId="0" applyFont="1" applyAlignment="1">
      <alignment horizontal="left" vertical="center" indent="5"/>
    </xf>
    <xf numFmtId="2" fontId="1" fillId="0" borderId="0" xfId="0" applyNumberFormat="1" applyFont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13" fillId="0" borderId="0" xfId="0" applyFont="1"/>
    <xf numFmtId="0" fontId="3" fillId="0" borderId="4" xfId="0" applyFont="1" applyBorder="1" applyAlignment="1">
      <alignment vertical="center"/>
    </xf>
    <xf numFmtId="0" fontId="3" fillId="0" borderId="0" xfId="0" applyFont="1" applyAlignment="1">
      <alignment vertical="center"/>
    </xf>
    <xf numFmtId="165" fontId="3" fillId="0" borderId="5" xfId="0" applyNumberFormat="1" applyFont="1" applyBorder="1" applyAlignment="1">
      <alignment vertical="center"/>
    </xf>
    <xf numFmtId="0" fontId="14" fillId="0" borderId="4" xfId="0" applyFont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0" fillId="3" borderId="13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" fillId="2" borderId="19" xfId="0" applyFont="1" applyFill="1" applyBorder="1" applyAlignment="1">
      <alignment vertical="center"/>
    </xf>
    <xf numFmtId="0" fontId="1" fillId="2" borderId="20" xfId="0" applyFont="1" applyFill="1" applyBorder="1" applyAlignment="1">
      <alignment vertical="center"/>
    </xf>
    <xf numFmtId="0" fontId="2" fillId="2" borderId="20" xfId="0" applyFont="1" applyFill="1" applyBorder="1" applyAlignment="1">
      <alignment horizontal="center" vertical="center" wrapText="1"/>
    </xf>
    <xf numFmtId="2" fontId="2" fillId="2" borderId="21" xfId="0" applyNumberFormat="1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vertical="center"/>
    </xf>
    <xf numFmtId="2" fontId="2" fillId="2" borderId="23" xfId="0" applyNumberFormat="1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vertical="center"/>
    </xf>
    <xf numFmtId="0" fontId="1" fillId="0" borderId="22" xfId="0" applyFont="1" applyBorder="1" applyAlignment="1">
      <alignment vertical="center"/>
    </xf>
    <xf numFmtId="164" fontId="4" fillId="0" borderId="23" xfId="0" applyNumberFormat="1" applyFont="1" applyBorder="1" applyAlignment="1">
      <alignment horizontal="left" vertical="center"/>
    </xf>
    <xf numFmtId="0" fontId="5" fillId="0" borderId="22" xfId="0" applyFont="1" applyBorder="1" applyAlignment="1">
      <alignment horizontal="justify" vertical="center" wrapText="1"/>
    </xf>
    <xf numFmtId="0" fontId="6" fillId="0" borderId="23" xfId="0" applyFont="1" applyBorder="1" applyAlignment="1">
      <alignment horizontal="left" vertical="center"/>
    </xf>
    <xf numFmtId="0" fontId="7" fillId="0" borderId="22" xfId="0" applyFont="1" applyBorder="1" applyAlignment="1">
      <alignment horizontal="justify" vertical="center" wrapText="1"/>
    </xf>
    <xf numFmtId="0" fontId="8" fillId="0" borderId="23" xfId="0" applyFont="1" applyBorder="1" applyAlignment="1">
      <alignment horizontal="justify" vertical="center" wrapText="1"/>
    </xf>
    <xf numFmtId="0" fontId="1" fillId="0" borderId="23" xfId="0" applyFont="1" applyBorder="1" applyAlignment="1">
      <alignment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6" fillId="0" borderId="22" xfId="0" applyFont="1" applyBorder="1" applyAlignment="1">
      <alignment vertical="center"/>
    </xf>
    <xf numFmtId="0" fontId="1" fillId="0" borderId="0" xfId="0" applyFont="1" applyAlignment="1">
      <alignment horizontal="left" vertical="center" wrapText="1"/>
    </xf>
    <xf numFmtId="167" fontId="1" fillId="0" borderId="0" xfId="0" applyNumberFormat="1" applyFont="1" applyAlignment="1">
      <alignment horizontal="left" vertical="center"/>
    </xf>
    <xf numFmtId="166" fontId="1" fillId="0" borderId="23" xfId="0" applyNumberFormat="1" applyFont="1" applyBorder="1" applyAlignment="1">
      <alignment vertical="center" wrapText="1"/>
    </xf>
    <xf numFmtId="166" fontId="1" fillId="0" borderId="23" xfId="0" applyNumberFormat="1" applyFont="1" applyBorder="1" applyAlignment="1">
      <alignment horizontal="left" vertical="center" wrapText="1"/>
    </xf>
    <xf numFmtId="0" fontId="6" fillId="0" borderId="22" xfId="0" applyFont="1" applyBorder="1" applyAlignment="1">
      <alignment horizontal="justify" vertical="center"/>
    </xf>
    <xf numFmtId="0" fontId="1" fillId="0" borderId="22" xfId="0" applyFont="1" applyBorder="1" applyAlignment="1">
      <alignment horizontal="center" vertical="center"/>
    </xf>
    <xf numFmtId="20" fontId="1" fillId="0" borderId="23" xfId="0" applyNumberFormat="1" applyFont="1" applyBorder="1" applyAlignment="1">
      <alignment horizontal="center" vertical="center"/>
    </xf>
    <xf numFmtId="0" fontId="11" fillId="0" borderId="22" xfId="0" applyFont="1" applyBorder="1" applyAlignment="1">
      <alignment horizontal="left" vertical="center"/>
    </xf>
    <xf numFmtId="0" fontId="11" fillId="0" borderId="23" xfId="0" applyFont="1" applyBorder="1" applyAlignment="1">
      <alignment vertical="center"/>
    </xf>
    <xf numFmtId="0" fontId="2" fillId="0" borderId="22" xfId="0" applyFont="1" applyBorder="1" applyAlignment="1">
      <alignment horizontal="left" vertical="center"/>
    </xf>
    <xf numFmtId="0" fontId="3" fillId="0" borderId="22" xfId="0" applyFont="1" applyBorder="1" applyAlignment="1">
      <alignment vertical="center"/>
    </xf>
    <xf numFmtId="165" fontId="3" fillId="0" borderId="23" xfId="0" applyNumberFormat="1" applyFont="1" applyBorder="1" applyAlignment="1">
      <alignment vertical="center"/>
    </xf>
    <xf numFmtId="0" fontId="14" fillId="0" borderId="22" xfId="0" applyFont="1" applyBorder="1" applyAlignment="1">
      <alignment horizontal="left" vertical="center"/>
    </xf>
    <xf numFmtId="0" fontId="3" fillId="0" borderId="1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628650</xdr:colOff>
      <xdr:row>0</xdr:row>
      <xdr:rowOff>190500</xdr:rowOff>
    </xdr:from>
    <xdr:ext cx="2162735" cy="51939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628650</xdr:colOff>
      <xdr:row>0</xdr:row>
      <xdr:rowOff>190500</xdr:rowOff>
    </xdr:from>
    <xdr:ext cx="2162175" cy="5238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air-han.list@vnbondex.com" TargetMode="External"/><Relationship Id="rId2" Type="http://schemas.openxmlformats.org/officeDocument/2006/relationships/drawing" Target="../drawings/drawing2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mailto:air-han.list@vnbondex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A79E"/>
    <pageSetUpPr fitToPage="1"/>
  </sheetPr>
  <dimension ref="A1:P313"/>
  <sheetViews>
    <sheetView workbookViewId="0" zoomScale="77" zoomScaleNormal="85" view="pageBreakPreview">
      <selection activeCell="A16" sqref="A16"/>
    </sheetView>
  </sheetViews>
  <sheetFormatPr defaultRowHeight="24" outlineLevelRow="0" outlineLevelCol="0" x14ac:dyDescent="0" defaultColWidth="9.93636363636364" customHeight="1"/>
  <cols>
    <col min="1" max="1" width="20.3636363636364" style="1" customWidth="1"/>
    <col min="2" max="2" width="30.4181818181818" style="1" customWidth="1"/>
    <col min="3" max="3" width="20.3636363636364" style="1" customWidth="1"/>
    <col min="4" max="5" width="18.6636363636364" style="1" customWidth="1"/>
    <col min="6" max="6" width="23.0272727272727" style="1" customWidth="1"/>
    <col min="7" max="7" width="18.6636363636364" style="1" customWidth="1"/>
    <col min="8" max="16384" width="9.93636363636364" style="1" customWidth="1"/>
  </cols>
  <sheetData>
    <row r="1" spans="1:16" s="2" customFormat="1" x14ac:dyDescent="0.25">
      <c r="A1" s="81"/>
      <c r="B1" s="82"/>
      <c r="C1" s="83"/>
      <c r="D1" s="83"/>
      <c r="E1" s="83"/>
      <c r="F1" s="84"/>
      <c r="G1" s="7"/>
      <c r="H1" s="8"/>
      <c r="I1" s="8"/>
      <c r="J1" s="7"/>
      <c r="K1" s="9"/>
      <c r="L1" s="9"/>
      <c r="M1" s="7"/>
      <c r="N1" s="7"/>
      <c r="O1" s="10"/>
      <c r="P1" s="11"/>
    </row>
    <row r="2" spans="1:16" s="2" customFormat="1" x14ac:dyDescent="0.25">
      <c r="A2" s="85"/>
      <c r="C2" s="8"/>
      <c r="D2" s="8"/>
      <c r="E2" s="8"/>
      <c r="F2" s="86"/>
      <c r="G2" s="7"/>
      <c r="H2" s="8"/>
      <c r="I2" s="8"/>
      <c r="J2" s="7"/>
      <c r="K2" s="9"/>
      <c r="L2" s="9"/>
      <c r="M2" s="7"/>
      <c r="N2" s="7"/>
      <c r="O2" s="10"/>
      <c r="P2" s="11"/>
    </row>
    <row r="3" ht="9" customHeight="1" spans="1:6" s="2" customFormat="1" x14ac:dyDescent="0.25">
      <c r="A3" s="85"/>
      <c r="F3" s="87"/>
    </row>
    <row r="4" spans="1:6" x14ac:dyDescent="0.25">
      <c r="A4" s="88"/>
      <c r="D4" s="16" t="s">
        <v>0</v>
      </c>
      <c r="E4" s="17">
        <f>TODAY()</f>
        <v>46314</v>
      </c>
      <c r="F4" s="89"/>
    </row>
    <row r="5" ht="41.25" customHeight="1" spans="1:7" x14ac:dyDescent="0.25">
      <c r="A5" s="90" t="s">
        <v>1</v>
      </c>
      <c r="B5" s="20" t="s">
        <v>2</v>
      </c>
      <c r="C5" s="20"/>
      <c r="D5" s="20"/>
      <c r="E5" s="20"/>
      <c r="F5" s="91"/>
      <c r="G5" s="22"/>
    </row>
    <row r="6" ht="15" customHeight="1" spans="1:7" x14ac:dyDescent="0.25">
      <c r="A6" s="92" t="s">
        <v>3</v>
      </c>
      <c r="B6" s="24"/>
      <c r="C6" s="24"/>
      <c r="D6" s="24" t="s">
        <v>4</v>
      </c>
      <c r="E6" s="24"/>
      <c r="F6" s="93"/>
      <c r="G6" s="26"/>
    </row>
    <row r="7" ht="15" customHeight="1" spans="1:6" x14ac:dyDescent="0.25">
      <c r="A7" s="88"/>
      <c r="F7" s="94"/>
    </row>
    <row r="8" spans="1:6" x14ac:dyDescent="0.25">
      <c r="A8" s="95" t="s">
        <v>5</v>
      </c>
      <c r="B8" s="29"/>
      <c r="C8" s="29"/>
      <c r="D8" s="29"/>
      <c r="E8" s="29"/>
      <c r="F8" s="96"/>
    </row>
    <row r="9" ht="15" customHeight="1" spans="1:6" x14ac:dyDescent="0.25">
      <c r="A9" s="88"/>
      <c r="F9" s="94"/>
    </row>
    <row r="10" ht="19.5" customHeight="1" spans="1:6" x14ac:dyDescent="0.25">
      <c r="A10" s="97" t="s">
        <v>6</v>
      </c>
      <c r="B10" s="1" t="s">
        <v>7</v>
      </c>
      <c r="D10" s="32" t="s">
        <v>8</v>
      </c>
      <c r="E10" s="1" t="s">
        <v>2</v>
      </c>
      <c r="F10" s="94"/>
    </row>
    <row r="11" ht="19.5" customHeight="1" spans="1:6" x14ac:dyDescent="0.25">
      <c r="A11" s="97" t="s">
        <v>9</v>
      </c>
      <c r="B11" s="33" t="s">
        <v>10</v>
      </c>
      <c r="D11" s="32"/>
      <c r="F11" s="94"/>
    </row>
    <row r="12" ht="19.5" customHeight="1" spans="1:6" x14ac:dyDescent="0.25">
      <c r="A12" s="97" t="s">
        <v>11</v>
      </c>
      <c r="B12" s="33" t="s">
        <v>12</v>
      </c>
      <c r="D12" s="32"/>
      <c r="F12" s="94"/>
    </row>
    <row r="13" ht="19.5" customHeight="1" spans="1:6" x14ac:dyDescent="0.25">
      <c r="A13" s="97" t="s">
        <v>13</v>
      </c>
      <c r="B13" s="1" t="s">
        <v>14</v>
      </c>
      <c r="D13" s="33"/>
      <c r="E13" s="32"/>
      <c r="F13" s="94"/>
    </row>
    <row r="14" ht="22.8" customHeight="1" spans="1:6" x14ac:dyDescent="0.25">
      <c r="A14" s="97" t="s">
        <v>15</v>
      </c>
      <c r="B14" s="98" t="s">
        <v>16</v>
      </c>
      <c r="D14" s="33"/>
      <c r="E14" s="32"/>
      <c r="F14" s="94"/>
    </row>
    <row r="15" ht="19.5" customHeight="1" spans="1:6" x14ac:dyDescent="0.25">
      <c r="A15" s="97" t="s">
        <v>17</v>
      </c>
      <c r="B15" s="99" t="s">
        <v>18</v>
      </c>
      <c r="D15" s="36"/>
      <c r="E15" s="37"/>
      <c r="F15" s="100"/>
    </row>
    <row r="16" ht="15" customHeight="1" hidden="1" spans="1:6" x14ac:dyDescent="0.25">
      <c r="A16" s="97" t="s">
        <v>20</v>
      </c>
      <c r="B16" s="34" t="s">
        <v>21</v>
      </c>
      <c r="C16" s="33"/>
      <c r="D16" s="32"/>
      <c r="E16" s="32"/>
      <c r="F16" s="100"/>
    </row>
    <row r="17" ht="19.5" customHeight="1" spans="1:6" x14ac:dyDescent="0.25">
      <c r="A17" s="97"/>
      <c r="B17" s="34"/>
      <c r="C17" s="33"/>
      <c r="D17" s="32"/>
      <c r="E17" s="32"/>
      <c r="F17" s="101"/>
    </row>
    <row r="18" ht="19.5" customHeight="1" spans="1:6" x14ac:dyDescent="0.25">
      <c r="A18" s="102" t="s">
        <v>22</v>
      </c>
      <c r="B18" s="41"/>
      <c r="F18" s="94"/>
    </row>
    <row r="19" ht="18.75" customHeight="1" spans="1:6" x14ac:dyDescent="0.25">
      <c r="A19" s="43" t="s">
        <v>23</v>
      </c>
      <c r="B19" s="43"/>
      <c r="C19" s="43" t="s">
        <v>24</v>
      </c>
      <c r="D19" s="43" t="s">
        <v>25</v>
      </c>
      <c r="E19" s="43" t="s">
        <v>26</v>
      </c>
      <c r="F19" s="43" t="s">
        <v>27</v>
      </c>
    </row>
    <row r="20" ht="27.75" customHeight="1" spans="1:6" x14ac:dyDescent="0.25">
      <c r="A20" s="47" t="s">
        <v>10</v>
      </c>
      <c r="B20" s="47"/>
      <c r="C20" s="47" t="s">
        <v>29</v>
      </c>
      <c r="D20" s="48" t="s">
        <v>16</v>
      </c>
      <c r="E20" s="49" t="s">
        <v>30</v>
      </c>
      <c r="F20" s="49" t="s">
        <v>18</v>
      </c>
    </row>
    <row r="21" ht="27.75" customHeight="1" spans="1:6" x14ac:dyDescent="0.25">
      <c r="A21" s="103"/>
      <c r="B21" s="53"/>
      <c r="C21" s="53"/>
      <c r="D21" s="54"/>
      <c r="E21" s="55"/>
      <c r="F21" s="104"/>
    </row>
    <row r="22" ht="19.5" customHeight="1" spans="1:6" x14ac:dyDescent="0.25">
      <c r="A22" s="105" t="s">
        <v>35</v>
      </c>
      <c r="B22" s="58" t="s">
        <v>30</v>
      </c>
      <c r="C22" s="59"/>
      <c r="D22" s="59"/>
      <c r="E22" s="59"/>
      <c r="F22" s="106"/>
    </row>
    <row r="23" ht="19.5" customHeight="1" spans="1:6" x14ac:dyDescent="0.25">
      <c r="A23" s="105" t="s">
        <v>36</v>
      </c>
      <c r="B23" s="58" t="s">
        <v>14</v>
      </c>
      <c r="C23" s="61"/>
      <c r="F23" s="94"/>
    </row>
    <row r="24" ht="19.5" customHeight="1" hidden="1" spans="1:6" x14ac:dyDescent="0.25">
      <c r="A24" s="105" t="s">
        <v>37</v>
      </c>
      <c r="B24" s="62" t="s">
        <v>38</v>
      </c>
      <c r="F24" s="94"/>
    </row>
    <row r="25" ht="19.5" customHeight="1" spans="1:6" x14ac:dyDescent="0.25">
      <c r="A25" s="107"/>
      <c r="B25" s="62"/>
      <c r="C25" s="61"/>
      <c r="F25" s="94"/>
    </row>
    <row r="26" ht="19.5" customHeight="1" spans="1:11" x14ac:dyDescent="0.25">
      <c r="A26" s="31" t="s">
        <v>42</v>
      </c>
      <c r="B26" s="1" t="s">
        <v>43</v>
      </c>
      <c r="F26" s="94"/>
      <c r="K26" s="53"/>
    </row>
    <row r="27" ht="19.5" customHeight="1" spans="1:11" x14ac:dyDescent="0.25">
      <c r="A27" s="31" t="s">
        <v>44</v>
      </c>
      <c r="B27" s="64" t="s">
        <v>45</v>
      </c>
      <c r="C27" s="61"/>
      <c r="F27" s="94"/>
      <c r="K27" s="53"/>
    </row>
    <row r="28" ht="19.5" customHeight="1" spans="1:11" x14ac:dyDescent="0.25">
      <c r="A28" s="88"/>
      <c r="F28" s="94"/>
      <c r="K28" s="53"/>
    </row>
    <row r="29" ht="19.5" customHeight="1" spans="1:11" x14ac:dyDescent="0.25">
      <c r="A29" s="88"/>
      <c r="F29" s="94"/>
      <c r="K29" s="53"/>
    </row>
    <row r="30" ht="19.5" customHeight="1" spans="1:6" x14ac:dyDescent="0.25">
      <c r="A30" s="108" t="s">
        <v>46</v>
      </c>
      <c r="B30" s="66"/>
      <c r="C30" s="66"/>
      <c r="D30" s="66"/>
      <c r="E30" s="66"/>
      <c r="F30" s="109"/>
    </row>
    <row r="31" ht="19.5" customHeight="1" spans="1:6" x14ac:dyDescent="0.25">
      <c r="A31" s="110" t="s">
        <v>47</v>
      </c>
      <c r="B31" s="69"/>
      <c r="C31" s="66"/>
      <c r="D31" s="66"/>
      <c r="E31" s="66"/>
      <c r="F31" s="109"/>
    </row>
    <row r="32" ht="19.5" customHeight="1" spans="1:6" x14ac:dyDescent="0.25">
      <c r="A32" s="110"/>
      <c r="B32" s="69"/>
      <c r="C32" s="66"/>
      <c r="D32" s="66"/>
      <c r="E32" s="66"/>
      <c r="F32" s="109"/>
    </row>
    <row r="33" ht="19.5" customHeight="1" spans="1:6" x14ac:dyDescent="0.25">
      <c r="A33" s="72"/>
      <c r="B33" s="71"/>
      <c r="C33" s="43" t="s">
        <v>48</v>
      </c>
      <c r="D33" s="43"/>
      <c r="E33" s="72" t="s">
        <v>49</v>
      </c>
      <c r="F33" s="71"/>
    </row>
    <row r="34" ht="45" customHeight="1" spans="1:6" x14ac:dyDescent="0.25">
      <c r="A34" s="111" t="s">
        <v>50</v>
      </c>
      <c r="B34" s="112"/>
      <c r="C34" s="113" t="s">
        <v>51</v>
      </c>
      <c r="D34" s="114"/>
      <c r="E34" s="111" t="s">
        <v>52</v>
      </c>
      <c r="F34" s="112"/>
    </row>
    <row r="313" spans="13:13" x14ac:dyDescent="0.25">
      <c r="M313" s="80" t="s">
        <v>53</v>
      </c>
    </row>
  </sheetData>
  <mergeCells count="23">
    <mergeCell ref="C1:C2"/>
    <mergeCell ref="D1:D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B5:F5"/>
    <mergeCell ref="A8:F8"/>
    <mergeCell ref="A19:B19"/>
    <mergeCell ref="A20:B20"/>
    <mergeCell ref="A33:B33"/>
    <mergeCell ref="C33:D33"/>
    <mergeCell ref="E33:F33"/>
    <mergeCell ref="A34:B34"/>
    <mergeCell ref="C34:D34"/>
    <mergeCell ref="E34:F34"/>
  </mergeCells>
  <hyperlinks>
    <hyperlink ref="C34" r:id="rId1"/>
  </hyperlinks>
  <pageMargins left="0.393700787401575" right="0.393700787401575" top="0.393700787401575" bottom="0.393700787401575" header="0.196850393700787" footer="0.31496062992126"/>
  <pageSetup paperSize="9" orientation="portrait" horizontalDpi="300" verticalDpi="300" scale="74" fitToWidth="1" fitToHeight="1" firstPageNumber="1" useFirstPageNumber="1" copies="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"/>
    <pageSetUpPr fitToPage="1"/>
  </sheetPr>
  <dimension ref="A1:P320"/>
  <sheetViews>
    <sheetView workbookViewId="0" zoomScale="60" zoomScaleNormal="85" view="pageBreakPreview">
      <selection activeCell="B39" sqref="B39"/>
    </sheetView>
  </sheetViews>
  <sheetFormatPr defaultRowHeight="24" outlineLevelRow="0" outlineLevelCol="0" x14ac:dyDescent="0" defaultColWidth="9.93636363636364" customHeight="1"/>
  <cols>
    <col min="1" max="1" width="35.2727272727273" style="1" customWidth="1"/>
    <col min="2" max="2" width="21.8181818181818" style="1" customWidth="1"/>
    <col min="3" max="3" width="20.3636363636364" style="1" customWidth="1"/>
    <col min="4" max="5" width="18.6636363636364" style="1" customWidth="1"/>
    <col min="6" max="6" width="23.0272727272727" style="1" customWidth="1"/>
    <col min="7" max="7" width="18.6636363636364" style="1" customWidth="1"/>
    <col min="8" max="16384" width="9.93636363636364" style="1" customWidth="1"/>
  </cols>
  <sheetData>
    <row r="1" spans="1:16" s="2" customFormat="1" x14ac:dyDescent="0.25">
      <c r="A1" s="3"/>
      <c r="B1" s="4"/>
      <c r="C1" s="5"/>
      <c r="D1" s="5"/>
      <c r="E1" s="5"/>
      <c r="F1" s="6"/>
      <c r="G1" s="7"/>
      <c r="H1" s="8"/>
      <c r="I1" s="8"/>
      <c r="J1" s="7"/>
      <c r="K1" s="9"/>
      <c r="L1" s="9"/>
      <c r="M1" s="7"/>
      <c r="N1" s="7"/>
      <c r="O1" s="10"/>
      <c r="P1" s="11"/>
    </row>
    <row r="2" spans="1:16" s="2" customFormat="1" x14ac:dyDescent="0.25">
      <c r="A2" s="12"/>
      <c r="C2" s="8"/>
      <c r="D2" s="8"/>
      <c r="E2" s="8"/>
      <c r="F2" s="13"/>
      <c r="G2" s="7"/>
      <c r="H2" s="8"/>
      <c r="I2" s="8"/>
      <c r="J2" s="7"/>
      <c r="K2" s="9"/>
      <c r="L2" s="9"/>
      <c r="M2" s="7"/>
      <c r="N2" s="7"/>
      <c r="O2" s="10"/>
      <c r="P2" s="11"/>
    </row>
    <row r="3" ht="9" customHeight="1" spans="1:6" s="2" customFormat="1" x14ac:dyDescent="0.25">
      <c r="A3" s="12"/>
      <c r="F3" s="14"/>
    </row>
    <row r="4" spans="1:6" x14ac:dyDescent="0.25">
      <c r="A4" s="15"/>
      <c r="D4" s="16" t="s">
        <v>0</v>
      </c>
      <c r="E4" s="17">
        <f>TODAY()</f>
        <v>46314</v>
      </c>
      <c r="F4" s="18"/>
    </row>
    <row r="5" ht="41.25" customHeight="1" spans="1:7" x14ac:dyDescent="0.25">
      <c r="A5" s="19" t="s">
        <v>1</v>
      </c>
      <c r="B5" s="20" t="s">
        <v>2</v>
      </c>
      <c r="C5" s="20"/>
      <c r="D5" s="20"/>
      <c r="E5" s="20"/>
      <c r="F5" s="21"/>
      <c r="G5" s="22"/>
    </row>
    <row r="6" ht="15" customHeight="1" spans="1:7" x14ac:dyDescent="0.25">
      <c r="A6" s="23" t="s">
        <v>3</v>
      </c>
      <c r="B6" s="24"/>
      <c r="C6" s="24"/>
      <c r="D6" s="24" t="s">
        <v>4</v>
      </c>
      <c r="E6" s="24"/>
      <c r="F6" s="25"/>
      <c r="G6" s="26"/>
    </row>
    <row r="7" ht="15" customHeight="1" spans="1:6" x14ac:dyDescent="0.25">
      <c r="A7" s="15"/>
      <c r="F7" s="27"/>
    </row>
    <row r="8" spans="1:6" x14ac:dyDescent="0.25">
      <c r="A8" s="28" t="s">
        <v>5</v>
      </c>
      <c r="B8" s="29"/>
      <c r="C8" s="29"/>
      <c r="D8" s="29"/>
      <c r="E8" s="29"/>
      <c r="F8" s="30"/>
    </row>
    <row r="9" ht="15" customHeight="1" spans="1:6" x14ac:dyDescent="0.25">
      <c r="A9" s="15"/>
      <c r="F9" s="27"/>
    </row>
    <row r="10" ht="19.5" customHeight="1" spans="1:6" x14ac:dyDescent="0.25">
      <c r="A10" s="31" t="s">
        <v>6</v>
      </c>
      <c r="B10" s="1" t="s">
        <v>7</v>
      </c>
      <c r="D10" s="32" t="s">
        <v>8</v>
      </c>
      <c r="E10" s="1" t="s">
        <v>2</v>
      </c>
      <c r="F10" s="27"/>
    </row>
    <row r="11" ht="19.5" customHeight="1" spans="1:6" x14ac:dyDescent="0.25">
      <c r="A11" s="31" t="s">
        <v>9</v>
      </c>
      <c r="B11" s="33" t="s">
        <v>10</v>
      </c>
      <c r="D11" s="32"/>
      <c r="F11" s="27"/>
    </row>
    <row r="12" ht="19.5" customHeight="1" spans="1:6" x14ac:dyDescent="0.25">
      <c r="A12" s="31" t="s">
        <v>11</v>
      </c>
      <c r="B12" s="33" t="s">
        <v>12</v>
      </c>
      <c r="D12" s="32"/>
      <c r="F12" s="27"/>
    </row>
    <row r="13" ht="19.5" customHeight="1" spans="1:6" x14ac:dyDescent="0.25">
      <c r="A13" s="31" t="s">
        <v>13</v>
      </c>
      <c r="B13" s="1" t="s">
        <v>14</v>
      </c>
      <c r="D13" s="33"/>
      <c r="E13" s="32"/>
      <c r="F13" s="27"/>
    </row>
    <row r="14" ht="19.5" customHeight="1" spans="1:6" x14ac:dyDescent="0.25">
      <c r="A14" s="31" t="s">
        <v>15</v>
      </c>
      <c r="B14" s="34" t="s">
        <v>16</v>
      </c>
      <c r="D14" s="33"/>
      <c r="E14" s="32"/>
      <c r="F14" s="27"/>
    </row>
    <row r="15" ht="15" customHeight="1" spans="1:6" x14ac:dyDescent="0.25">
      <c r="A15" s="31" t="s">
        <v>17</v>
      </c>
      <c r="B15" s="35" t="s">
        <v>18</v>
      </c>
      <c r="D15" s="36"/>
      <c r="E15" s="37"/>
      <c r="F15" s="38"/>
    </row>
    <row r="16" ht="18" customHeight="1" hidden="1" spans="1:6" x14ac:dyDescent="0.25">
      <c r="A16" s="31" t="s">
        <v>19</v>
      </c>
      <c r="B16" s="37" t="e">
        <f>'[4]AE JAN'!AB10</f>
        <v>#REF!</v>
      </c>
      <c r="D16" s="36"/>
      <c r="E16" s="37"/>
      <c r="F16" s="38"/>
    </row>
    <row r="17" ht="15" customHeight="1" hidden="1" spans="1:6" x14ac:dyDescent="0.25">
      <c r="A17" s="31" t="s">
        <v>20</v>
      </c>
      <c r="B17" s="34" t="s">
        <v>21</v>
      </c>
      <c r="C17" s="33"/>
      <c r="D17" s="32"/>
      <c r="E17" s="32"/>
      <c r="F17" s="38"/>
    </row>
    <row r="18" ht="19.5" customHeight="1" spans="1:6" x14ac:dyDescent="0.25">
      <c r="A18" s="31"/>
      <c r="B18" s="34"/>
      <c r="C18" s="33"/>
      <c r="D18" s="32"/>
      <c r="E18" s="32"/>
      <c r="F18" s="39"/>
    </row>
    <row r="19" ht="19.5" customHeight="1" spans="1:6" x14ac:dyDescent="0.25">
      <c r="A19" s="40" t="s">
        <v>22</v>
      </c>
      <c r="B19" s="41"/>
      <c r="F19" s="27"/>
    </row>
    <row r="20" ht="18.75" customHeight="1" spans="1:6" x14ac:dyDescent="0.25">
      <c r="A20" s="42" t="s">
        <v>23</v>
      </c>
      <c r="B20" s="43"/>
      <c r="C20" s="43" t="s">
        <v>24</v>
      </c>
      <c r="D20" s="43" t="s">
        <v>25</v>
      </c>
      <c r="E20" s="43" t="s">
        <v>26</v>
      </c>
      <c r="F20" s="44" t="s">
        <v>27</v>
      </c>
    </row>
    <row r="21" ht="88.95" customHeight="1" spans="1:6" x14ac:dyDescent="0.25">
      <c r="A21" s="45" t="s">
        <v>10</v>
      </c>
      <c r="B21" s="46" t="s">
        <v>28</v>
      </c>
      <c r="C21" s="47" t="s">
        <v>29</v>
      </c>
      <c r="D21" s="48" t="s">
        <v>16</v>
      </c>
      <c r="E21" s="49" t="s">
        <v>30</v>
      </c>
      <c r="F21" s="49" t="s">
        <v>18</v>
      </c>
    </row>
    <row r="22" ht="90" customHeight="1" spans="1:6" x14ac:dyDescent="0.25">
      <c r="A22" s="45"/>
      <c r="B22" s="50" t="s">
        <v>12</v>
      </c>
      <c r="C22" s="47" t="s">
        <v>31</v>
      </c>
      <c r="D22" s="48" t="s">
        <v>32</v>
      </c>
      <c r="E22" s="49" t="s">
        <v>16</v>
      </c>
      <c r="F22" s="49" t="s">
        <v>30</v>
      </c>
    </row>
    <row r="23" ht="70.8" customHeight="1" hidden="1" spans="1:6" x14ac:dyDescent="0.25">
      <c r="A23" s="51"/>
      <c r="B23" s="50" t="s">
        <v>33</v>
      </c>
      <c r="C23" s="47" t="s">
        <v>34</v>
      </c>
      <c r="D23" s="48">
        <v>46291</v>
      </c>
      <c r="E23" s="49">
        <v>0.4131944444452529</v>
      </c>
      <c r="F23" s="49">
        <v>0.6631944444452529</v>
      </c>
    </row>
    <row r="24" ht="26.4" customHeight="1" spans="1:6" x14ac:dyDescent="0.25">
      <c r="A24" s="52"/>
      <c r="B24" s="53"/>
      <c r="C24" s="53"/>
      <c r="D24" s="54"/>
      <c r="E24" s="55"/>
      <c r="F24" s="56"/>
    </row>
    <row r="25" ht="19.5" customHeight="1" spans="1:6" x14ac:dyDescent="0.25">
      <c r="A25" s="57" t="s">
        <v>35</v>
      </c>
      <c r="B25" s="58" t="s">
        <v>30</v>
      </c>
      <c r="C25" s="59"/>
      <c r="D25" s="59"/>
      <c r="E25" s="59"/>
      <c r="F25" s="60"/>
    </row>
    <row r="26" ht="19.5" customHeight="1" hidden="1" spans="1:6" x14ac:dyDescent="0.25">
      <c r="A26" s="57" t="s">
        <v>36</v>
      </c>
      <c r="B26" s="58" t="s">
        <v>14</v>
      </c>
      <c r="C26" s="61"/>
      <c r="F26" s="27"/>
    </row>
    <row r="27" ht="19.5" customHeight="1" spans="1:6" x14ac:dyDescent="0.25">
      <c r="A27" s="57" t="s">
        <v>36</v>
      </c>
      <c r="B27" s="58" t="s">
        <v>14</v>
      </c>
      <c r="C27" s="61"/>
      <c r="F27" s="27"/>
    </row>
    <row r="28" ht="19.5" customHeight="1" hidden="1" spans="1:6" x14ac:dyDescent="0.25">
      <c r="A28" s="57" t="s">
        <v>37</v>
      </c>
      <c r="B28" s="62" t="s">
        <v>38</v>
      </c>
      <c r="F28" s="27"/>
    </row>
    <row r="29" ht="19.5" customHeight="1" hidden="1" spans="1:6" x14ac:dyDescent="0.25">
      <c r="A29" s="57" t="s">
        <v>37</v>
      </c>
      <c r="B29" s="62" t="s">
        <v>39</v>
      </c>
      <c r="F29" s="27"/>
    </row>
    <row r="30" ht="19.5" customHeight="1" hidden="1" spans="1:6" x14ac:dyDescent="0.25">
      <c r="A30" s="63"/>
      <c r="B30" s="62" t="s">
        <v>40</v>
      </c>
      <c r="C30" s="61"/>
      <c r="F30" s="27"/>
    </row>
    <row r="31" ht="19.5" customHeight="1" hidden="1" spans="1:6" x14ac:dyDescent="0.25">
      <c r="A31" s="63"/>
      <c r="B31" s="62" t="s">
        <v>41</v>
      </c>
      <c r="C31" s="61"/>
      <c r="F31" s="27"/>
    </row>
    <row r="32" ht="19.5" customHeight="1" spans="1:6" x14ac:dyDescent="0.25">
      <c r="A32" s="63"/>
      <c r="B32" s="62"/>
      <c r="C32" s="61"/>
      <c r="F32" s="27"/>
    </row>
    <row r="33" ht="19.5" customHeight="1" spans="1:11" x14ac:dyDescent="0.25">
      <c r="A33" s="31" t="s">
        <v>42</v>
      </c>
      <c r="B33" s="1" t="s">
        <v>43</v>
      </c>
      <c r="F33" s="27"/>
      <c r="K33" s="53"/>
    </row>
    <row r="34" ht="19.5" customHeight="1" spans="1:11" x14ac:dyDescent="0.25">
      <c r="A34" s="31" t="s">
        <v>44</v>
      </c>
      <c r="B34" s="64" t="s">
        <v>45</v>
      </c>
      <c r="C34" s="61"/>
      <c r="F34" s="27"/>
      <c r="K34" s="53"/>
    </row>
    <row r="35" ht="19.5" customHeight="1" spans="1:11" x14ac:dyDescent="0.25">
      <c r="A35" s="15"/>
      <c r="F35" s="27"/>
      <c r="K35" s="53"/>
    </row>
    <row r="36" ht="19.5" customHeight="1" spans="1:11" x14ac:dyDescent="0.25">
      <c r="A36" s="15"/>
      <c r="F36" s="27"/>
      <c r="K36" s="53"/>
    </row>
    <row r="37" ht="19.5" customHeight="1" spans="1:6" x14ac:dyDescent="0.25">
      <c r="A37" s="65" t="s">
        <v>46</v>
      </c>
      <c r="B37" s="66"/>
      <c r="C37" s="66"/>
      <c r="D37" s="66"/>
      <c r="E37" s="66"/>
      <c r="F37" s="67"/>
    </row>
    <row r="38" ht="19.5" customHeight="1" spans="1:6" x14ac:dyDescent="0.25">
      <c r="A38" s="68" t="s">
        <v>47</v>
      </c>
      <c r="B38" s="69"/>
      <c r="C38" s="66"/>
      <c r="D38" s="66"/>
      <c r="E38" s="66"/>
      <c r="F38" s="67"/>
    </row>
    <row r="39" ht="19.5" customHeight="1" spans="1:6" x14ac:dyDescent="0.25">
      <c r="A39" s="68"/>
      <c r="B39" s="69"/>
      <c r="C39" s="66"/>
      <c r="D39" s="66"/>
      <c r="E39" s="66"/>
      <c r="F39" s="67"/>
    </row>
    <row r="40" ht="19.5" customHeight="1" spans="1:6" x14ac:dyDescent="0.25">
      <c r="A40" s="70"/>
      <c r="B40" s="71"/>
      <c r="C40" s="43" t="s">
        <v>48</v>
      </c>
      <c r="D40" s="43"/>
      <c r="E40" s="72" t="s">
        <v>49</v>
      </c>
      <c r="F40" s="73"/>
    </row>
    <row r="41" ht="19.5" customHeight="1" spans="1:6" x14ac:dyDescent="0.25">
      <c r="A41" s="74" t="s">
        <v>50</v>
      </c>
      <c r="B41" s="75"/>
      <c r="C41" s="76" t="s">
        <v>51</v>
      </c>
      <c r="D41" s="77"/>
      <c r="E41" s="78" t="s">
        <v>52</v>
      </c>
      <c r="F41" s="79"/>
    </row>
    <row r="320" spans="13:13" x14ac:dyDescent="0.25">
      <c r="M320" s="80" t="s">
        <v>53</v>
      </c>
    </row>
  </sheetData>
  <mergeCells count="23">
    <mergeCell ref="C1:C2"/>
    <mergeCell ref="D1:D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B5:F5"/>
    <mergeCell ref="A8:F8"/>
    <mergeCell ref="A20:B20"/>
    <mergeCell ref="A21:A22"/>
    <mergeCell ref="A40:B40"/>
    <mergeCell ref="C40:D40"/>
    <mergeCell ref="E40:F40"/>
    <mergeCell ref="A41:B41"/>
    <mergeCell ref="C41:D41"/>
    <mergeCell ref="E41:F41"/>
  </mergeCells>
  <hyperlinks>
    <hyperlink ref="C41" r:id="rId1"/>
  </hyperlinks>
  <pageMargins left="0.393700787401575" right="0.393700787401575" top="0.393700787401575" bottom="0.393700787401575" header="0.196850393700787" footer="0.31496062992126"/>
  <pageSetup paperSize="1" orientation="portrait" horizontalDpi="4294967295" verticalDpi="4294967295" scale="72" fitToWidth="1" fitToHeight="1" firstPageNumber="1" useFirstPageNumber="1" copies="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BKCF (TRANSIT)</vt:lpstr>
      <vt:lpstr>BKCF (DIRECT)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WPS</cp:lastModifiedBy>
  <dcterms:created xsi:type="dcterms:W3CDTF">2026-10-19T06:58:00Z</dcterms:created>
  <dcterms:modified xsi:type="dcterms:W3CDTF">2026-10-19T07:30:10Z</dcterms:modified>
</cp:coreProperties>
</file>